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arolina\Desktop\CROFLINE\"/>
    </mc:Choice>
  </mc:AlternateContent>
  <bookViews>
    <workbookView xWindow="0" yWindow="0" windowWidth="23040" windowHeight="9264" activeTab="1"/>
  </bookViews>
  <sheets>
    <sheet name="QUADO-KANBAN" sheetId="1" r:id="rId1"/>
    <sheet name="MÉTRICA" sheetId="3" r:id="rId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H3" i="3"/>
  <c r="G3" i="3"/>
  <c r="F3" i="3"/>
  <c r="F2" i="3"/>
  <c r="G2" i="3"/>
  <c r="A2" i="1"/>
</calcChain>
</file>

<file path=xl/sharedStrings.xml><?xml version="1.0" encoding="utf-8"?>
<sst xmlns="http://schemas.openxmlformats.org/spreadsheetml/2006/main" count="25" uniqueCount="25">
  <si>
    <t>A FAZER</t>
  </si>
  <si>
    <t>EM ANDAMENTO</t>
  </si>
  <si>
    <t>FEITO</t>
  </si>
  <si>
    <t xml:space="preserve">KANBAN - DESENVOLVIMENTO SITE CROFLINE </t>
  </si>
  <si>
    <t xml:space="preserve">EM REVISÃO </t>
  </si>
  <si>
    <t>TAREFA</t>
  </si>
  <si>
    <t>PRAZO</t>
  </si>
  <si>
    <t>INÍCIO</t>
  </si>
  <si>
    <t>FIM</t>
  </si>
  <si>
    <t>LEAD TIME</t>
  </si>
  <si>
    <t>CYCLE TIME</t>
  </si>
  <si>
    <t>Montar Logotipo</t>
  </si>
  <si>
    <t>INÍCIO DEV</t>
  </si>
  <si>
    <t>STATUS</t>
  </si>
  <si>
    <t>Planejar Menu</t>
  </si>
  <si>
    <t>Pagina de Categoria</t>
  </si>
  <si>
    <t>Pagina de Add de Produtos</t>
  </si>
  <si>
    <t>API do MP Integrado</t>
  </si>
  <si>
    <t>Json de cores e tamanhos</t>
  </si>
  <si>
    <t>Arrumar page de login</t>
  </si>
  <si>
    <t>API dos correios</t>
  </si>
  <si>
    <t>Boneca virtual</t>
  </si>
  <si>
    <t>Notificação do carrinho</t>
  </si>
  <si>
    <t>Resumo de compras</t>
  </si>
  <si>
    <t>Ideia da 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</si>
</sst>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Aptos Narrow"/>
      <family val="2"/>
      <scheme val="minor"/>
    </font>
    <font>
      <b/>
      <sz val="14"/>
      <color theme="0"/>
      <name val="Calibri"/>
      <family val="2"/>
    </font>
    <font>
      <b/>
      <sz val="10"/>
      <color theme="0"/>
      <name val="Calibri"/>
      <family val="2"/>
    </font>
    <font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3" xfId="0" applyBorder="1"/>
    <xf numFmtId="0" fontId="1" fillId="2" borderId="7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1" fillId="3" borderId="8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16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1191869</xdr:colOff>
      <xdr:row>4</xdr:row>
      <xdr:rowOff>49182</xdr:rowOff>
    </xdr:from>
    <xdr:to>
      <xdr:col>1</xdr:col>
      <xdr:colOff>2982569</xdr:colOff>
      <xdr:row>11</xdr:row>
      <xdr:rowOff>79662</xdr:rowOff>
    </xdr:to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xmlns="" id="{74E5234A-B335-4EE2-9915-DE5519AAEA2C}"/>
            </a:ext>
          </a:extLst>
        </xdr:cNvPr>
        <xdr:cNvSpPr txBox="1"/>
      </xdr:nvSpPr>
      <xdr:spPr>
        <a:xfrm>
          <a:off x="5306669" y="839757"/>
          <a:ext cx="1790700" cy="1230630"/>
        </a:xfrm>
        <a:prstGeom prst="rect">
          <a:avLst/>
        </a:prstGeom>
        <a:solidFill>
          <a:srgbClr val="CC3399"/>
        </a:solidFill>
        <a:ln w="9525" cmpd="sng">
          <a:solidFill>
            <a:schemeClr val="accent5">
              <a:lumMod val="40000"/>
              <a:lumOff val="6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TAREFA:</a:t>
          </a:r>
          <a:r>
            <a:rPr lang="pt-BR" sz="1100" b="1" baseline="0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 Planejar menu principal  (carrossel, interações e categorias)</a:t>
          </a: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PRAZO:  28/03/2026</a:t>
          </a:r>
        </a:p>
      </xdr:txBody>
    </xdr:sp>
    <xdr:clientData/>
  </xdr:twoCellAnchor>
  <xdr:twoCellAnchor>
    <xdr:from>
      <xdr:col>0</xdr:col>
      <xdr:colOff>133350</xdr:colOff>
      <xdr:row>4</xdr:row>
      <xdr:rowOff>15065</xdr:rowOff>
    </xdr:from>
    <xdr:to>
      <xdr:col>0</xdr:col>
      <xdr:colOff>1924050</xdr:colOff>
      <xdr:row>11</xdr:row>
      <xdr:rowOff>40465</xdr:rowOff>
    </xdr:to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xmlns="" id="{53239B3F-6370-4DC2-9876-EE3113BDE0C3}"/>
            </a:ext>
          </a:extLst>
        </xdr:cNvPr>
        <xdr:cNvSpPr txBox="1"/>
      </xdr:nvSpPr>
      <xdr:spPr>
        <a:xfrm>
          <a:off x="133350" y="805640"/>
          <a:ext cx="1790700" cy="1225550"/>
        </a:xfrm>
        <a:prstGeom prst="rect">
          <a:avLst/>
        </a:prstGeom>
        <a:solidFill>
          <a:srgbClr val="CC3399"/>
        </a:solidFill>
        <a:ln w="9525" cmpd="sng">
          <a:solidFill>
            <a:schemeClr val="accent5">
              <a:lumMod val="40000"/>
              <a:lumOff val="6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TAREFA:</a:t>
          </a:r>
          <a:r>
            <a:rPr lang="pt-BR" sz="1100" b="1" baseline="0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 Finalizar páginas de categoria </a:t>
          </a: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PRAZO: 10/04/2026</a:t>
          </a:r>
        </a:p>
      </xdr:txBody>
    </xdr:sp>
    <xdr:clientData/>
  </xdr:twoCellAnchor>
  <xdr:twoCellAnchor>
    <xdr:from>
      <xdr:col>0</xdr:col>
      <xdr:colOff>2224742</xdr:colOff>
      <xdr:row>4</xdr:row>
      <xdr:rowOff>9027</xdr:rowOff>
    </xdr:from>
    <xdr:to>
      <xdr:col>0</xdr:col>
      <xdr:colOff>4015442</xdr:colOff>
      <xdr:row>11</xdr:row>
      <xdr:rowOff>28077</xdr:rowOff>
    </xdr:to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xmlns="" id="{A27257E5-52BD-4C91-9F79-B670FFD59A29}"/>
            </a:ext>
          </a:extLst>
        </xdr:cNvPr>
        <xdr:cNvSpPr txBox="1"/>
      </xdr:nvSpPr>
      <xdr:spPr>
        <a:xfrm>
          <a:off x="2224742" y="799602"/>
          <a:ext cx="1790700" cy="1219200"/>
        </a:xfrm>
        <a:prstGeom prst="rect">
          <a:avLst/>
        </a:prstGeom>
        <a:solidFill>
          <a:srgbClr val="CC3399"/>
        </a:solidFill>
        <a:ln w="9525" cmpd="sng">
          <a:solidFill>
            <a:schemeClr val="accent5">
              <a:lumMod val="40000"/>
              <a:lumOff val="6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TAREFA: </a:t>
          </a:r>
          <a:r>
            <a:rPr lang="pt-BR" sz="1100" b="1" baseline="0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 Finalizar página de administração de adição de produtos de todas as categorias</a:t>
          </a: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PRAZO: 25/04/2026</a:t>
          </a:r>
        </a:p>
      </xdr:txBody>
    </xdr:sp>
    <xdr:clientData/>
  </xdr:twoCellAnchor>
  <xdr:twoCellAnchor>
    <xdr:from>
      <xdr:col>0</xdr:col>
      <xdr:colOff>2190874</xdr:colOff>
      <xdr:row>12</xdr:row>
      <xdr:rowOff>93320</xdr:rowOff>
    </xdr:from>
    <xdr:to>
      <xdr:col>0</xdr:col>
      <xdr:colOff>3981574</xdr:colOff>
      <xdr:row>19</xdr:row>
      <xdr:rowOff>112370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xmlns="" id="{20B8EB74-ED9D-4484-A492-C51932F4FEB5}"/>
            </a:ext>
          </a:extLst>
        </xdr:cNvPr>
        <xdr:cNvSpPr txBox="1"/>
      </xdr:nvSpPr>
      <xdr:spPr>
        <a:xfrm>
          <a:off x="2190874" y="2255495"/>
          <a:ext cx="1790700" cy="1219200"/>
        </a:xfrm>
        <a:prstGeom prst="rect">
          <a:avLst/>
        </a:prstGeom>
        <a:solidFill>
          <a:srgbClr val="CC3399"/>
        </a:solidFill>
        <a:ln w="9525" cmpd="sng">
          <a:solidFill>
            <a:schemeClr val="accent5">
              <a:lumMod val="40000"/>
              <a:lumOff val="6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TAREFA: </a:t>
          </a:r>
          <a:r>
            <a:rPr lang="pt-BR" sz="1100" b="1" baseline="0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 Planejar json de cores e tamanhos dos produtos</a:t>
          </a: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PRAZO: 10/04/2026</a:t>
          </a:r>
        </a:p>
      </xdr:txBody>
    </xdr:sp>
    <xdr:clientData/>
  </xdr:twoCellAnchor>
  <xdr:twoCellAnchor>
    <xdr:from>
      <xdr:col>3</xdr:col>
      <xdr:colOff>1113429</xdr:colOff>
      <xdr:row>4</xdr:row>
      <xdr:rowOff>42334</xdr:rowOff>
    </xdr:from>
    <xdr:to>
      <xdr:col>3</xdr:col>
      <xdr:colOff>2904129</xdr:colOff>
      <xdr:row>11</xdr:row>
      <xdr:rowOff>80434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xmlns="" id="{B3B6A202-3707-41BE-BFF0-E830FFF85602}"/>
            </a:ext>
          </a:extLst>
        </xdr:cNvPr>
        <xdr:cNvSpPr txBox="1"/>
      </xdr:nvSpPr>
      <xdr:spPr>
        <a:xfrm>
          <a:off x="13457829" y="832909"/>
          <a:ext cx="1790700" cy="1238250"/>
        </a:xfrm>
        <a:prstGeom prst="rect">
          <a:avLst/>
        </a:prstGeom>
        <a:solidFill>
          <a:srgbClr val="CC3399"/>
        </a:solidFill>
        <a:ln w="9525" cmpd="sng">
          <a:solidFill>
            <a:schemeClr val="accent5">
              <a:lumMod val="40000"/>
              <a:lumOff val="6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TAREFA: </a:t>
          </a:r>
          <a:r>
            <a:rPr lang="pt-BR" sz="1100" b="1" baseline="0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 Montar o l</a:t>
          </a: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ogotipo Crofline</a:t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PRAZO: 01/02/2026</a:t>
          </a:r>
        </a:p>
      </xdr:txBody>
    </xdr:sp>
    <xdr:clientData/>
  </xdr:twoCellAnchor>
  <xdr:twoCellAnchor>
    <xdr:from>
      <xdr:col>0</xdr:col>
      <xdr:colOff>142875</xdr:colOff>
      <xdr:row>12</xdr:row>
      <xdr:rowOff>114300</xdr:rowOff>
    </xdr:from>
    <xdr:to>
      <xdr:col>0</xdr:col>
      <xdr:colOff>1933575</xdr:colOff>
      <xdr:row>19</xdr:row>
      <xdr:rowOff>133350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xmlns="" id="{A27257E5-52BD-4C91-9F79-B670FFD59A29}"/>
            </a:ext>
          </a:extLst>
        </xdr:cNvPr>
        <xdr:cNvSpPr txBox="1"/>
      </xdr:nvSpPr>
      <xdr:spPr>
        <a:xfrm>
          <a:off x="142875" y="2276475"/>
          <a:ext cx="1790700" cy="1219200"/>
        </a:xfrm>
        <a:prstGeom prst="rect">
          <a:avLst/>
        </a:prstGeom>
        <a:solidFill>
          <a:srgbClr val="CC3399"/>
        </a:solidFill>
        <a:ln w="9525" cmpd="sng">
          <a:solidFill>
            <a:schemeClr val="accent5">
              <a:lumMod val="40000"/>
              <a:lumOff val="6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TAREFA: Finalizar</a:t>
          </a:r>
          <a:r>
            <a:rPr lang="pt-BR" sz="1100" b="1" baseline="0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 </a:t>
          </a: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API do MercadoPago - Estudar ideia de pagamento integrado</a:t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PRAZO:  20/04/2026</a:t>
          </a:r>
        </a:p>
      </xdr:txBody>
    </xdr:sp>
    <xdr:clientData/>
  </xdr:twoCellAnchor>
  <xdr:twoCellAnchor>
    <xdr:from>
      <xdr:col>0</xdr:col>
      <xdr:colOff>2181225</xdr:colOff>
      <xdr:row>21</xdr:row>
      <xdr:rowOff>161925</xdr:rowOff>
    </xdr:from>
    <xdr:to>
      <xdr:col>0</xdr:col>
      <xdr:colOff>3971925</xdr:colOff>
      <xdr:row>29</xdr:row>
      <xdr:rowOff>9525</xdr:rowOff>
    </xdr:to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xmlns="" id="{A27257E5-52BD-4C91-9F79-B670FFD59A29}"/>
            </a:ext>
          </a:extLst>
        </xdr:cNvPr>
        <xdr:cNvSpPr txBox="1"/>
      </xdr:nvSpPr>
      <xdr:spPr>
        <a:xfrm>
          <a:off x="2181225" y="3867150"/>
          <a:ext cx="1790700" cy="1219200"/>
        </a:xfrm>
        <a:prstGeom prst="rect">
          <a:avLst/>
        </a:prstGeom>
        <a:solidFill>
          <a:srgbClr val="CC3399"/>
        </a:solidFill>
        <a:ln w="9525" cmpd="sng">
          <a:solidFill>
            <a:schemeClr val="accent5">
              <a:lumMod val="40000"/>
              <a:lumOff val="6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TAREFA: Realizar</a:t>
          </a:r>
          <a:r>
            <a:rPr lang="pt-BR" sz="1100" b="1" baseline="0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 API dos correios</a:t>
          </a: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PRAZO: 30/04/2026</a:t>
          </a:r>
        </a:p>
      </xdr:txBody>
    </xdr:sp>
    <xdr:clientData/>
  </xdr:twoCellAnchor>
  <xdr:twoCellAnchor>
    <xdr:from>
      <xdr:col>0</xdr:col>
      <xdr:colOff>133350</xdr:colOff>
      <xdr:row>22</xdr:row>
      <xdr:rowOff>9525</xdr:rowOff>
    </xdr:from>
    <xdr:to>
      <xdr:col>0</xdr:col>
      <xdr:colOff>1924050</xdr:colOff>
      <xdr:row>29</xdr:row>
      <xdr:rowOff>28575</xdr:rowOff>
    </xdr:to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xmlns="" id="{A27257E5-52BD-4C91-9F79-B670FFD59A29}"/>
            </a:ext>
          </a:extLst>
        </xdr:cNvPr>
        <xdr:cNvSpPr txBox="1"/>
      </xdr:nvSpPr>
      <xdr:spPr>
        <a:xfrm>
          <a:off x="133350" y="3886200"/>
          <a:ext cx="1790700" cy="1219200"/>
        </a:xfrm>
        <a:prstGeom prst="rect">
          <a:avLst/>
        </a:prstGeom>
        <a:solidFill>
          <a:srgbClr val="CC3399"/>
        </a:solidFill>
        <a:ln w="9525" cmpd="sng">
          <a:solidFill>
            <a:schemeClr val="accent5">
              <a:lumMod val="40000"/>
              <a:lumOff val="6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TAREFA: Arrumar</a:t>
          </a:r>
          <a:r>
            <a:rPr lang="pt-BR" sz="1100" b="1" baseline="0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 página de login</a:t>
          </a: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PRAZO: 28/03/2026</a:t>
          </a:r>
        </a:p>
      </xdr:txBody>
    </xdr:sp>
    <xdr:clientData/>
  </xdr:twoCellAnchor>
  <xdr:twoCellAnchor>
    <xdr:from>
      <xdr:col>0</xdr:col>
      <xdr:colOff>2200275</xdr:colOff>
      <xdr:row>31</xdr:row>
      <xdr:rowOff>9525</xdr:rowOff>
    </xdr:from>
    <xdr:to>
      <xdr:col>0</xdr:col>
      <xdr:colOff>3990975</xdr:colOff>
      <xdr:row>38</xdr:row>
      <xdr:rowOff>28575</xdr:rowOff>
    </xdr:to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xmlns="" id="{A27257E5-52BD-4C91-9F79-B670FFD59A29}"/>
            </a:ext>
          </a:extLst>
        </xdr:cNvPr>
        <xdr:cNvSpPr txBox="1"/>
      </xdr:nvSpPr>
      <xdr:spPr>
        <a:xfrm>
          <a:off x="2200275" y="5429250"/>
          <a:ext cx="1790700" cy="1219200"/>
        </a:xfrm>
        <a:prstGeom prst="rect">
          <a:avLst/>
        </a:prstGeom>
        <a:solidFill>
          <a:srgbClr val="CC3399"/>
        </a:solidFill>
        <a:ln w="9525" cmpd="sng">
          <a:solidFill>
            <a:schemeClr val="accent5">
              <a:lumMod val="40000"/>
              <a:lumOff val="6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TAREFA: Realizar</a:t>
          </a:r>
          <a:r>
            <a:rPr lang="pt-BR" sz="1100" b="1" baseline="0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 o sistema de notificação automática do carrinho de compras pelo email</a:t>
          </a: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PRAZO: 05/05/2026</a:t>
          </a:r>
        </a:p>
      </xdr:txBody>
    </xdr:sp>
    <xdr:clientData/>
  </xdr:twoCellAnchor>
  <xdr:twoCellAnchor>
    <xdr:from>
      <xdr:col>0</xdr:col>
      <xdr:colOff>114300</xdr:colOff>
      <xdr:row>31</xdr:row>
      <xdr:rowOff>9525</xdr:rowOff>
    </xdr:from>
    <xdr:to>
      <xdr:col>0</xdr:col>
      <xdr:colOff>1905000</xdr:colOff>
      <xdr:row>38</xdr:row>
      <xdr:rowOff>28575</xdr:rowOff>
    </xdr:to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xmlns="" id="{A27257E5-52BD-4C91-9F79-B670FFD59A29}"/>
            </a:ext>
          </a:extLst>
        </xdr:cNvPr>
        <xdr:cNvSpPr txBox="1"/>
      </xdr:nvSpPr>
      <xdr:spPr>
        <a:xfrm>
          <a:off x="114300" y="5429250"/>
          <a:ext cx="1790700" cy="1219200"/>
        </a:xfrm>
        <a:prstGeom prst="rect">
          <a:avLst/>
        </a:prstGeom>
        <a:solidFill>
          <a:srgbClr val="CC3399"/>
        </a:solidFill>
        <a:ln w="9525" cmpd="sng">
          <a:solidFill>
            <a:schemeClr val="accent5">
              <a:lumMod val="40000"/>
              <a:lumOff val="6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TAREFA: Estudar a</a:t>
          </a:r>
          <a:r>
            <a:rPr lang="pt-BR" sz="1100" b="1" baseline="0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 ideia da boneca virtual</a:t>
          </a: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PRAZO: 05/05/2026</a:t>
          </a:r>
        </a:p>
      </xdr:txBody>
    </xdr:sp>
    <xdr:clientData/>
  </xdr:twoCellAnchor>
  <xdr:twoCellAnchor>
    <xdr:from>
      <xdr:col>2</xdr:col>
      <xdr:colOff>1104900</xdr:colOff>
      <xdr:row>4</xdr:row>
      <xdr:rowOff>38100</xdr:rowOff>
    </xdr:from>
    <xdr:to>
      <xdr:col>2</xdr:col>
      <xdr:colOff>2895600</xdr:colOff>
      <xdr:row>11</xdr:row>
      <xdr:rowOff>57150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xmlns="" id="{A27257E5-52BD-4C91-9F79-B670FFD59A29}"/>
            </a:ext>
          </a:extLst>
        </xdr:cNvPr>
        <xdr:cNvSpPr txBox="1"/>
      </xdr:nvSpPr>
      <xdr:spPr>
        <a:xfrm>
          <a:off x="9334500" y="828675"/>
          <a:ext cx="1790700" cy="1219200"/>
        </a:xfrm>
        <a:prstGeom prst="rect">
          <a:avLst/>
        </a:prstGeom>
        <a:solidFill>
          <a:srgbClr val="CC3399"/>
        </a:solidFill>
        <a:ln w="9525" cmpd="sng">
          <a:solidFill>
            <a:schemeClr val="accent5">
              <a:lumMod val="40000"/>
              <a:lumOff val="6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TAREFA: Finalizar Carrinho</a:t>
          </a:r>
          <a:r>
            <a:rPr lang="pt-BR" sz="1100" b="1" baseline="0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 de compras</a:t>
          </a: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PRAZO:  20/04/2026</a:t>
          </a:r>
        </a:p>
      </xdr:txBody>
    </xdr:sp>
    <xdr:clientData/>
  </xdr:twoCellAnchor>
  <xdr:twoCellAnchor>
    <xdr:from>
      <xdr:col>0</xdr:col>
      <xdr:colOff>114300</xdr:colOff>
      <xdr:row>39</xdr:row>
      <xdr:rowOff>152400</xdr:rowOff>
    </xdr:from>
    <xdr:to>
      <xdr:col>0</xdr:col>
      <xdr:colOff>1905000</xdr:colOff>
      <xdr:row>47</xdr:row>
      <xdr:rowOff>0</xdr:rowOff>
    </xdr:to>
    <xdr:sp macro="" textlink="">
      <xdr:nvSpPr>
        <xdr:cNvPr id="14" name="CaixaDeTexto 13">
          <a:extLst>
            <a:ext uri="{FF2B5EF4-FFF2-40B4-BE49-F238E27FC236}">
              <a16:creationId xmlns:a16="http://schemas.microsoft.com/office/drawing/2014/main" xmlns="" id="{A27257E5-52BD-4C91-9F79-B670FFD59A29}"/>
            </a:ext>
          </a:extLst>
        </xdr:cNvPr>
        <xdr:cNvSpPr txBox="1"/>
      </xdr:nvSpPr>
      <xdr:spPr>
        <a:xfrm>
          <a:off x="114300" y="6943725"/>
          <a:ext cx="1790700" cy="1219200"/>
        </a:xfrm>
        <a:prstGeom prst="rect">
          <a:avLst/>
        </a:prstGeom>
        <a:solidFill>
          <a:srgbClr val="CC3399"/>
        </a:solidFill>
        <a:ln w="9525" cmpd="sng">
          <a:solidFill>
            <a:schemeClr val="accent5">
              <a:lumMod val="40000"/>
              <a:lumOff val="6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TAREFA: Finalizar resumo de compras</a:t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PRAZO:  30/04/2026</a:t>
          </a:r>
        </a:p>
      </xdr:txBody>
    </xdr:sp>
    <xdr:clientData/>
  </xdr:twoCellAnchor>
  <xdr:twoCellAnchor>
    <xdr:from>
      <xdr:col>0</xdr:col>
      <xdr:colOff>2124075</xdr:colOff>
      <xdr:row>40</xdr:row>
      <xdr:rowOff>9525</xdr:rowOff>
    </xdr:from>
    <xdr:to>
      <xdr:col>0</xdr:col>
      <xdr:colOff>3914775</xdr:colOff>
      <xdr:row>47</xdr:row>
      <xdr:rowOff>28575</xdr:rowOff>
    </xdr:to>
    <xdr:sp macro="" textlink="">
      <xdr:nvSpPr>
        <xdr:cNvPr id="15" name="CaixaDeTexto 14">
          <a:extLst>
            <a:ext uri="{FF2B5EF4-FFF2-40B4-BE49-F238E27FC236}">
              <a16:creationId xmlns:a16="http://schemas.microsoft.com/office/drawing/2014/main" xmlns="" id="{A27257E5-52BD-4C91-9F79-B670FFD59A29}"/>
            </a:ext>
          </a:extLst>
        </xdr:cNvPr>
        <xdr:cNvSpPr txBox="1"/>
      </xdr:nvSpPr>
      <xdr:spPr>
        <a:xfrm>
          <a:off x="2124075" y="6972300"/>
          <a:ext cx="1790700" cy="1219200"/>
        </a:xfrm>
        <a:prstGeom prst="rect">
          <a:avLst/>
        </a:prstGeom>
        <a:solidFill>
          <a:srgbClr val="CC3399"/>
        </a:solidFill>
        <a:ln w="9525" cmpd="sng">
          <a:solidFill>
            <a:schemeClr val="accent5">
              <a:lumMod val="40000"/>
              <a:lumOff val="60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TAREFA: Estudar ideia</a:t>
          </a:r>
          <a:r>
            <a:rPr lang="pt-BR" sz="1100" b="1" baseline="0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 da IA</a:t>
          </a: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/>
          </a:r>
          <a:b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</a:br>
          <a:r>
            <a:rPr lang="pt-BR" sz="1100" b="1">
              <a:solidFill>
                <a:schemeClr val="bg1"/>
              </a:solidFill>
              <a:latin typeface="Calibri" panose="020F0502020204030204" pitchFamily="34" charset="0"/>
              <a:cs typeface="Calibri" panose="020F0502020204030204" pitchFamily="34" charset="0"/>
            </a:rPr>
            <a:t>PRAZO:  20/05/2026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D3"/>
  <sheetViews>
    <sheetView showGridLines="0" zoomScale="80" zoomScaleNormal="80" workbookViewId="0">
      <pane ySplit="3" topLeftCell="A17" activePane="bottomLeft" state="frozen"/>
      <selection pane="bottomLeft" activeCell="A40" sqref="A40"/>
    </sheetView>
  </sheetViews>
  <sheetFormatPr defaultRowHeight="13.8"/>
  <cols>
    <col min="1" max="1" width="54" style="1" customWidth="1"/>
    <col min="2" max="2" width="54" style="2" customWidth="1"/>
    <col min="3" max="4" width="54" style="1" customWidth="1"/>
  </cols>
  <sheetData>
    <row r="1" spans="1:4" ht="18.75">
      <c r="A1" s="13" t="s">
        <v>3</v>
      </c>
      <c r="B1" s="14"/>
      <c r="C1" s="14"/>
      <c r="D1" s="15"/>
    </row>
    <row r="2" spans="1:4" ht="12" customHeight="1">
      <c r="A2" s="16" t="str">
        <f ca="1">"Atualizado em: " &amp; TEXT(NOW(),"dd/mm/aaaa hh:mm")</f>
        <v>Atualizado em: 17/03/2026 20:44</v>
      </c>
      <c r="B2" s="17"/>
      <c r="C2" s="17"/>
      <c r="D2" s="18"/>
    </row>
    <row r="3" spans="1:4" ht="18">
      <c r="A3" s="3" t="s">
        <v>0</v>
      </c>
      <c r="B3" s="4" t="s">
        <v>1</v>
      </c>
      <c r="C3" s="5" t="s">
        <v>4</v>
      </c>
      <c r="D3" s="5" t="s">
        <v>2</v>
      </c>
    </row>
  </sheetData>
  <mergeCells count="2">
    <mergeCell ref="A1:D1"/>
    <mergeCell ref="A2:D2"/>
  </mergeCells>
  <pageMargins left="0.511811024" right="0.511811024" top="0.78740157499999996" bottom="0.78740157499999996" header="0.31496062000000002" footer="0.31496062000000002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autoPageBreaks="0"/>
  </sheetPr>
  <dimension ref="A1:H45"/>
  <sheetViews>
    <sheetView showGridLines="0" tabSelected="1" zoomScaleNormal="100" workbookViewId="0">
      <selection activeCell="C13" sqref="C13"/>
    </sheetView>
  </sheetViews>
  <sheetFormatPr defaultRowHeight="13.8"/>
  <cols>
    <col min="1" max="8" width="23.296875" style="8" customWidth="1"/>
  </cols>
  <sheetData>
    <row r="1" spans="1:8" ht="18">
      <c r="A1" s="6" t="s">
        <v>5</v>
      </c>
      <c r="B1" s="6" t="s">
        <v>7</v>
      </c>
      <c r="C1" s="6" t="s">
        <v>6</v>
      </c>
      <c r="D1" s="6" t="s">
        <v>12</v>
      </c>
      <c r="E1" s="6" t="s">
        <v>8</v>
      </c>
      <c r="F1" s="6" t="s">
        <v>9</v>
      </c>
      <c r="G1" s="6" t="s">
        <v>10</v>
      </c>
      <c r="H1" s="6" t="s">
        <v>13</v>
      </c>
    </row>
    <row r="2" spans="1:8" ht="15.75">
      <c r="A2" s="9" t="s">
        <v>11</v>
      </c>
      <c r="B2" s="10">
        <v>45889</v>
      </c>
      <c r="C2" s="10">
        <v>46042</v>
      </c>
      <c r="D2" s="10">
        <v>45928</v>
      </c>
      <c r="E2" s="10">
        <v>45973</v>
      </c>
      <c r="F2" s="9">
        <f>E2-B2</f>
        <v>84</v>
      </c>
      <c r="G2" s="9">
        <f>E2-D2</f>
        <v>45</v>
      </c>
      <c r="H2" s="9">
        <f>IF(E2 &lt;= C2, 1, 0)</f>
        <v>1</v>
      </c>
    </row>
    <row r="3" spans="1:8" ht="15.75">
      <c r="A3" s="9" t="s">
        <v>14</v>
      </c>
      <c r="B3" s="10">
        <v>46098</v>
      </c>
      <c r="C3" s="10">
        <v>46109</v>
      </c>
      <c r="D3" s="10">
        <v>46100</v>
      </c>
      <c r="E3" s="10"/>
      <c r="F3" s="9">
        <f>E3-B3</f>
        <v>-46098</v>
      </c>
      <c r="G3" s="9">
        <f>E3-D3</f>
        <v>-46100</v>
      </c>
      <c r="H3" s="9">
        <f>IF(E3 &lt;= C3, 1, 0)</f>
        <v>1</v>
      </c>
    </row>
    <row r="4" spans="1:8" ht="15.75">
      <c r="A4" s="9" t="s">
        <v>15</v>
      </c>
      <c r="B4" s="10">
        <v>46098</v>
      </c>
      <c r="C4" s="10">
        <v>46122</v>
      </c>
      <c r="D4" s="9"/>
      <c r="E4" s="9"/>
      <c r="F4" s="9"/>
      <c r="G4" s="9"/>
      <c r="H4" s="9"/>
    </row>
    <row r="5" spans="1:8" ht="15.75">
      <c r="A5" s="9" t="s">
        <v>16</v>
      </c>
      <c r="B5" s="10">
        <v>46098</v>
      </c>
      <c r="C5" s="19">
        <v>46137</v>
      </c>
      <c r="D5" s="9"/>
      <c r="E5" s="9"/>
      <c r="F5" s="9"/>
      <c r="G5" s="9"/>
      <c r="H5" s="9"/>
    </row>
    <row r="6" spans="1:8" ht="15.75">
      <c r="A6" s="9" t="s">
        <v>17</v>
      </c>
      <c r="B6" s="19">
        <v>46098</v>
      </c>
      <c r="C6" s="19">
        <v>46132</v>
      </c>
      <c r="D6" s="9"/>
      <c r="E6" s="9"/>
      <c r="F6" s="9"/>
      <c r="G6" s="9"/>
      <c r="H6" s="9"/>
    </row>
    <row r="7" spans="1:8" ht="15.75">
      <c r="A7" s="9" t="s">
        <v>18</v>
      </c>
      <c r="B7" s="19">
        <v>46098</v>
      </c>
      <c r="C7" s="19">
        <v>46122</v>
      </c>
      <c r="D7" s="9"/>
      <c r="E7" s="9"/>
      <c r="F7" s="9"/>
      <c r="G7" s="9"/>
      <c r="H7" s="9"/>
    </row>
    <row r="8" spans="1:8" ht="15.75">
      <c r="A8" s="9" t="s">
        <v>19</v>
      </c>
      <c r="B8" s="19">
        <v>46098</v>
      </c>
      <c r="C8" s="19">
        <v>46109</v>
      </c>
      <c r="D8" s="9"/>
      <c r="E8" s="9"/>
      <c r="F8" s="9"/>
      <c r="G8" s="9"/>
      <c r="H8" s="9"/>
    </row>
    <row r="9" spans="1:8" ht="15.75">
      <c r="A9" s="9" t="s">
        <v>20</v>
      </c>
      <c r="B9" s="19">
        <v>46098</v>
      </c>
      <c r="C9" s="19">
        <v>46142</v>
      </c>
      <c r="D9" s="9"/>
      <c r="E9" s="9"/>
      <c r="F9" s="9"/>
      <c r="G9" s="9"/>
      <c r="H9" s="9"/>
    </row>
    <row r="10" spans="1:8" ht="15.75">
      <c r="A10" s="9" t="s">
        <v>21</v>
      </c>
      <c r="B10" s="19">
        <v>46098</v>
      </c>
      <c r="C10" s="19">
        <v>46147</v>
      </c>
      <c r="D10" s="9"/>
      <c r="E10" s="9"/>
      <c r="F10" s="9"/>
      <c r="G10" s="9"/>
      <c r="H10" s="9"/>
    </row>
    <row r="11" spans="1:8" ht="15.75">
      <c r="A11" s="9" t="s">
        <v>22</v>
      </c>
      <c r="B11" s="19">
        <v>46098</v>
      </c>
      <c r="C11" s="19">
        <v>46147</v>
      </c>
      <c r="D11" s="9"/>
      <c r="E11" s="9"/>
      <c r="F11" s="9"/>
      <c r="G11" s="9"/>
      <c r="H11" s="9"/>
    </row>
    <row r="12" spans="1:8" ht="15.75">
      <c r="A12" s="9" t="s">
        <v>23</v>
      </c>
      <c r="B12" s="19">
        <v>46098</v>
      </c>
      <c r="C12" s="19">
        <v>46142</v>
      </c>
      <c r="D12" s="9"/>
      <c r="E12" s="9"/>
      <c r="F12" s="9"/>
      <c r="G12" s="9"/>
      <c r="H12" s="9"/>
    </row>
    <row r="13" spans="1:8" ht="15.75">
      <c r="A13" s="9" t="s">
        <v>24</v>
      </c>
      <c r="B13" s="19">
        <v>46098</v>
      </c>
      <c r="C13" s="19">
        <v>46162</v>
      </c>
      <c r="D13" s="9"/>
      <c r="E13" s="9"/>
      <c r="F13" s="9"/>
      <c r="G13" s="9"/>
      <c r="H13" s="9"/>
    </row>
    <row r="14" spans="1:8" ht="15.75">
      <c r="A14" s="9"/>
      <c r="B14" s="9"/>
      <c r="C14" s="9"/>
      <c r="D14" s="9"/>
      <c r="E14" s="9"/>
      <c r="F14" s="9"/>
      <c r="G14" s="9"/>
      <c r="H14" s="9"/>
    </row>
    <row r="15" spans="1:8" ht="15.75">
      <c r="A15" s="9"/>
      <c r="B15" s="9"/>
      <c r="C15" s="9"/>
      <c r="D15" s="9"/>
      <c r="E15" s="9"/>
      <c r="F15" s="9"/>
      <c r="G15" s="9"/>
      <c r="H15" s="9"/>
    </row>
    <row r="16" spans="1:8" ht="15.75">
      <c r="A16" s="9"/>
      <c r="B16" s="9"/>
      <c r="C16" s="9"/>
      <c r="D16" s="9"/>
      <c r="E16" s="9"/>
      <c r="F16" s="9"/>
      <c r="G16" s="9"/>
      <c r="H16" s="9"/>
    </row>
    <row r="17" spans="1:8" ht="15.75">
      <c r="A17" s="9"/>
      <c r="B17" s="9"/>
      <c r="C17" s="9"/>
      <c r="D17" s="9"/>
      <c r="E17" s="9"/>
      <c r="F17" s="9"/>
      <c r="G17" s="9"/>
      <c r="H17" s="9"/>
    </row>
    <row r="18" spans="1:8" ht="15.75">
      <c r="A18" s="9"/>
      <c r="B18" s="9"/>
      <c r="C18" s="9"/>
      <c r="D18" s="9"/>
      <c r="E18" s="9"/>
      <c r="F18" s="9"/>
      <c r="G18" s="9"/>
      <c r="H18" s="9"/>
    </row>
    <row r="19" spans="1:8" ht="15.75">
      <c r="A19" s="9"/>
      <c r="B19" s="9"/>
      <c r="C19" s="9"/>
      <c r="D19" s="9"/>
      <c r="E19" s="9"/>
      <c r="F19" s="9"/>
      <c r="G19" s="9"/>
      <c r="H19" s="9"/>
    </row>
    <row r="20" spans="1:8" ht="15.75">
      <c r="A20" s="12"/>
      <c r="B20" s="12"/>
      <c r="C20" s="12"/>
      <c r="D20" s="12"/>
      <c r="E20" s="12"/>
      <c r="F20" s="12"/>
      <c r="G20" s="12"/>
      <c r="H20" s="12"/>
    </row>
    <row r="21" spans="1:8" ht="15.75">
      <c r="A21" s="11"/>
      <c r="B21" s="11"/>
      <c r="C21" s="11"/>
      <c r="D21" s="11"/>
      <c r="E21" s="11"/>
      <c r="F21" s="11"/>
      <c r="G21" s="11"/>
      <c r="H21" s="11"/>
    </row>
    <row r="22" spans="1:8" ht="15.75">
      <c r="A22" s="11"/>
      <c r="B22" s="11"/>
      <c r="C22" s="11"/>
      <c r="D22" s="11"/>
      <c r="E22" s="11"/>
      <c r="F22" s="11"/>
      <c r="G22" s="11"/>
      <c r="H22" s="11"/>
    </row>
    <row r="23" spans="1:8" ht="15">
      <c r="A23" s="7"/>
      <c r="B23" s="7"/>
      <c r="C23" s="7"/>
      <c r="D23" s="7"/>
      <c r="E23" s="7"/>
      <c r="F23" s="7"/>
      <c r="G23" s="7"/>
      <c r="H23" s="7"/>
    </row>
    <row r="24" spans="1:8" ht="15">
      <c r="A24" s="7"/>
      <c r="B24" s="7"/>
      <c r="C24" s="7"/>
      <c r="D24" s="7"/>
      <c r="E24" s="7"/>
      <c r="F24" s="7"/>
      <c r="G24" s="7"/>
      <c r="H24" s="7"/>
    </row>
    <row r="25" spans="1:8" ht="15">
      <c r="A25" s="7"/>
      <c r="B25" s="7"/>
      <c r="C25" s="7"/>
      <c r="D25" s="7"/>
      <c r="E25" s="7"/>
      <c r="F25" s="7"/>
      <c r="G25" s="7"/>
      <c r="H25" s="7"/>
    </row>
    <row r="26" spans="1:8" ht="15">
      <c r="A26" s="7"/>
      <c r="B26" s="7"/>
      <c r="C26" s="7"/>
      <c r="D26" s="7"/>
      <c r="E26" s="7"/>
      <c r="F26" s="7"/>
      <c r="G26" s="7"/>
      <c r="H26" s="7"/>
    </row>
    <row r="27" spans="1:8" ht="15">
      <c r="A27" s="7"/>
      <c r="B27" s="7"/>
      <c r="C27" s="7"/>
      <c r="D27" s="7"/>
      <c r="E27" s="7"/>
      <c r="F27" s="7"/>
      <c r="G27" s="7"/>
      <c r="H27" s="7"/>
    </row>
    <row r="28" spans="1:8" ht="15">
      <c r="A28" s="7"/>
      <c r="B28" s="7"/>
      <c r="C28" s="7"/>
      <c r="D28" s="7"/>
      <c r="E28" s="7"/>
      <c r="F28" s="7"/>
      <c r="G28" s="7"/>
      <c r="H28" s="7"/>
    </row>
    <row r="29" spans="1:8">
      <c r="A29" s="7"/>
      <c r="B29" s="7"/>
      <c r="C29" s="7"/>
      <c r="D29" s="7"/>
      <c r="E29" s="7"/>
      <c r="F29" s="7"/>
      <c r="G29" s="7"/>
      <c r="H29" s="7"/>
    </row>
    <row r="30" spans="1:8">
      <c r="A30" s="7"/>
      <c r="B30" s="7"/>
      <c r="C30" s="7"/>
      <c r="D30" s="7"/>
      <c r="E30" s="7"/>
      <c r="F30" s="7"/>
      <c r="G30" s="7"/>
      <c r="H30" s="7"/>
    </row>
    <row r="31" spans="1:8">
      <c r="A31" s="7"/>
      <c r="B31" s="7"/>
      <c r="C31" s="7"/>
      <c r="D31" s="7"/>
      <c r="E31" s="7"/>
      <c r="F31" s="7"/>
      <c r="G31" s="7"/>
      <c r="H31" s="7"/>
    </row>
    <row r="32" spans="1:8">
      <c r="A32" s="7"/>
      <c r="B32" s="7"/>
      <c r="C32" s="7"/>
      <c r="D32" s="7"/>
      <c r="E32" s="7"/>
      <c r="F32" s="7"/>
      <c r="G32" s="7"/>
      <c r="H32" s="7"/>
    </row>
    <row r="33" spans="1:8">
      <c r="A33" s="7"/>
      <c r="B33" s="7"/>
      <c r="C33" s="7"/>
      <c r="D33" s="7"/>
      <c r="E33" s="7"/>
      <c r="F33" s="7"/>
      <c r="G33" s="7"/>
      <c r="H33" s="7"/>
    </row>
    <row r="34" spans="1:8">
      <c r="A34" s="7"/>
      <c r="B34" s="7"/>
      <c r="C34" s="7"/>
      <c r="D34" s="7"/>
      <c r="E34" s="7"/>
      <c r="F34" s="7"/>
      <c r="G34" s="7"/>
      <c r="H34" s="7"/>
    </row>
    <row r="35" spans="1:8">
      <c r="A35" s="7"/>
      <c r="B35" s="7"/>
      <c r="C35" s="7"/>
      <c r="D35" s="7"/>
      <c r="E35" s="7"/>
      <c r="F35" s="7"/>
      <c r="G35" s="7"/>
      <c r="H35" s="7"/>
    </row>
    <row r="36" spans="1:8">
      <c r="A36" s="7"/>
      <c r="B36" s="7"/>
      <c r="C36" s="7"/>
      <c r="D36" s="7"/>
      <c r="E36" s="7"/>
      <c r="F36" s="7"/>
      <c r="G36" s="7"/>
      <c r="H36" s="7"/>
    </row>
    <row r="37" spans="1:8">
      <c r="A37" s="7"/>
      <c r="B37" s="7"/>
      <c r="C37" s="7"/>
      <c r="D37" s="7"/>
      <c r="E37" s="7"/>
      <c r="F37" s="7"/>
      <c r="G37" s="7"/>
      <c r="H37" s="7"/>
    </row>
    <row r="38" spans="1:8">
      <c r="A38" s="7"/>
      <c r="B38" s="7"/>
      <c r="C38" s="7"/>
      <c r="D38" s="7"/>
      <c r="E38" s="7"/>
      <c r="F38" s="7"/>
      <c r="G38" s="7"/>
      <c r="H38" s="7"/>
    </row>
    <row r="39" spans="1:8">
      <c r="A39" s="7"/>
      <c r="B39" s="7"/>
      <c r="C39" s="7"/>
      <c r="D39" s="7"/>
      <c r="E39" s="7"/>
      <c r="F39" s="7"/>
      <c r="G39" s="7"/>
      <c r="H39" s="7"/>
    </row>
    <row r="40" spans="1:8">
      <c r="A40" s="7"/>
      <c r="B40" s="7"/>
      <c r="C40" s="7"/>
      <c r="D40" s="7"/>
      <c r="E40" s="7"/>
      <c r="F40" s="7"/>
      <c r="G40" s="7"/>
      <c r="H40" s="7"/>
    </row>
    <row r="41" spans="1:8">
      <c r="A41" s="7"/>
      <c r="B41" s="7"/>
      <c r="C41" s="7"/>
      <c r="D41" s="7"/>
      <c r="E41" s="7"/>
      <c r="F41" s="7"/>
      <c r="G41" s="7"/>
      <c r="H41" s="7"/>
    </row>
    <row r="42" spans="1:8">
      <c r="A42" s="7"/>
      <c r="B42" s="7"/>
      <c r="C42" s="7"/>
      <c r="D42" s="7"/>
      <c r="E42" s="7"/>
      <c r="F42" s="7"/>
      <c r="G42" s="7"/>
      <c r="H42" s="7"/>
    </row>
    <row r="43" spans="1:8">
      <c r="A43" s="7"/>
      <c r="B43" s="7"/>
      <c r="C43" s="7"/>
      <c r="D43" s="7"/>
      <c r="E43" s="7"/>
      <c r="F43" s="7"/>
      <c r="G43" s="7"/>
      <c r="H43" s="7"/>
    </row>
    <row r="44" spans="1:8">
      <c r="A44" s="7"/>
      <c r="B44" s="7"/>
      <c r="C44" s="7"/>
      <c r="D44" s="7"/>
      <c r="E44" s="7"/>
      <c r="F44" s="7"/>
      <c r="G44" s="7"/>
      <c r="H44" s="7"/>
    </row>
    <row r="45" spans="1:8">
      <c r="A45" s="7"/>
      <c r="B45" s="7"/>
      <c r="C45" s="7"/>
      <c r="D45" s="7"/>
      <c r="E45" s="7"/>
      <c r="F45" s="7"/>
      <c r="G45" s="7"/>
      <c r="H45" s="7"/>
    </row>
  </sheetData>
  <conditionalFormatting sqref="H2:H3">
    <cfRule type="iconSet" priority="1">
      <iconSet showValue="0">
        <cfvo type="percent" val="0"/>
        <cfvo type="num" val="1"/>
        <cfvo type="num" val="1"/>
      </iconSet>
    </cfRule>
  </conditionalFormatting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QUADO-KANBAN</vt:lpstr>
      <vt:lpstr>MÉTRICA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Dpto pessoal Teodora Dimov</dc:creator>
  <cp:lastModifiedBy>Carolina</cp:lastModifiedBy>
  <dcterms:created xsi:type="dcterms:W3CDTF">2026-03-17T14:03:56Z</dcterms:created>
  <dcterms:modified xsi:type="dcterms:W3CDTF">2026-03-17T23:44:08Z</dcterms:modified>
</cp:coreProperties>
</file>