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aragon\www\Crofline\"/>
    </mc:Choice>
  </mc:AlternateContent>
  <bookViews>
    <workbookView xWindow="0" yWindow="0" windowWidth="23040" windowHeight="9270"/>
  </bookViews>
  <sheets>
    <sheet name="QUADO-KANBAN" sheetId="1" r:id="rId1"/>
    <sheet name="MÉTRICA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G3" i="3"/>
  <c r="F3" i="3"/>
  <c r="F2" i="3"/>
  <c r="G2" i="3"/>
  <c r="A2" i="1"/>
</calcChain>
</file>

<file path=xl/sharedStrings.xml><?xml version="1.0" encoding="utf-8"?>
<sst xmlns="http://schemas.openxmlformats.org/spreadsheetml/2006/main" count="26" uniqueCount="26">
  <si>
    <t>A FAZER</t>
  </si>
  <si>
    <t>EM ANDAMENTO</t>
  </si>
  <si>
    <t>FEITO</t>
  </si>
  <si>
    <t xml:space="preserve">KANBAN - DESENVOLVIMENTO SITE CROFLINE </t>
  </si>
  <si>
    <t xml:space="preserve">EM REVISÃO </t>
  </si>
  <si>
    <t>TAREFA</t>
  </si>
  <si>
    <t>PRAZO</t>
  </si>
  <si>
    <t>INÍCIO</t>
  </si>
  <si>
    <t>FIM</t>
  </si>
  <si>
    <t>LEAD TIME</t>
  </si>
  <si>
    <t>CYCLE TIME</t>
  </si>
  <si>
    <t>Montar Logotipo</t>
  </si>
  <si>
    <t>INÍCIO DEV</t>
  </si>
  <si>
    <t>STATUS</t>
  </si>
  <si>
    <t>Planejar Menu</t>
  </si>
  <si>
    <t>Pagina de Categoria</t>
  </si>
  <si>
    <t>Pagina de Add de Produtos</t>
  </si>
  <si>
    <t>API do MP Integrado</t>
  </si>
  <si>
    <t>Json de cores e tamanhos</t>
  </si>
  <si>
    <t>Arrumar page de login</t>
  </si>
  <si>
    <t>API dos correios</t>
  </si>
  <si>
    <t>Boneca virtual</t>
  </si>
  <si>
    <t>Notificação do carrinho</t>
  </si>
  <si>
    <t>Resumo de compras</t>
  </si>
  <si>
    <t>Ideia da IA</t>
  </si>
  <si>
    <t>preencher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</si>
</sst>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1084712</xdr:colOff>
      <xdr:row>15</xdr:row>
      <xdr:rowOff>13464</xdr:rowOff>
    </xdr:from>
    <xdr:to>
      <xdr:col>1</xdr:col>
      <xdr:colOff>2875412</xdr:colOff>
      <xdr:row>22</xdr:row>
      <xdr:rowOff>43943</xdr:rowOff>
    </xdr:to>
    <xdr:sp macro="" textlink="">
      <xdr:nvSpPr>
        <xdr:cNvPr id="2" name="CaixaDeTexto 1">
          <a:extLst>
            <a:ext uri="{FF2B5EF4-FFF2-40B4-BE49-F238E27FC236}">
              <a16:creationId xmlns="" xmlns:a16="http://schemas.microsoft.com/office/drawing/2014/main" id="{74E5234A-B335-4EE2-9915-DE5519AAEA2C}"/>
            </a:ext>
          </a:extLst>
        </xdr:cNvPr>
        <xdr:cNvSpPr txBox="1"/>
      </xdr:nvSpPr>
      <xdr:spPr>
        <a:xfrm>
          <a:off x="5204275" y="2787620"/>
          <a:ext cx="1790700" cy="1280636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Planejar menu principal  (carrossel, interações e categorias)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 28/03/2026</a:t>
          </a:r>
        </a:p>
      </xdr:txBody>
    </xdr:sp>
    <xdr:clientData/>
  </xdr:twoCellAnchor>
  <xdr:twoCellAnchor>
    <xdr:from>
      <xdr:col>0</xdr:col>
      <xdr:colOff>133350</xdr:colOff>
      <xdr:row>4</xdr:row>
      <xdr:rowOff>15065</xdr:rowOff>
    </xdr:from>
    <xdr:to>
      <xdr:col>0</xdr:col>
      <xdr:colOff>1924050</xdr:colOff>
      <xdr:row>11</xdr:row>
      <xdr:rowOff>40465</xdr:rowOff>
    </xdr:to>
    <xdr:sp macro="" textlink="">
      <xdr:nvSpPr>
        <xdr:cNvPr id="3" name="CaixaDeTexto 2">
          <a:extLst>
            <a:ext uri="{FF2B5EF4-FFF2-40B4-BE49-F238E27FC236}">
              <a16:creationId xmlns="" xmlns:a16="http://schemas.microsoft.com/office/drawing/2014/main" id="{53239B3F-6370-4DC2-9876-EE3113BDE0C3}"/>
            </a:ext>
          </a:extLst>
        </xdr:cNvPr>
        <xdr:cNvSpPr txBox="1"/>
      </xdr:nvSpPr>
      <xdr:spPr>
        <a:xfrm>
          <a:off x="133350" y="805640"/>
          <a:ext cx="1790700" cy="122555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Finalizar páginas de categoria 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10/04/2026</a:t>
          </a:r>
        </a:p>
      </xdr:txBody>
    </xdr:sp>
    <xdr:clientData/>
  </xdr:twoCellAnchor>
  <xdr:twoCellAnchor>
    <xdr:from>
      <xdr:col>0</xdr:col>
      <xdr:colOff>2224742</xdr:colOff>
      <xdr:row>4</xdr:row>
      <xdr:rowOff>9027</xdr:rowOff>
    </xdr:from>
    <xdr:to>
      <xdr:col>0</xdr:col>
      <xdr:colOff>4015442</xdr:colOff>
      <xdr:row>11</xdr:row>
      <xdr:rowOff>28077</xdr:rowOff>
    </xdr:to>
    <xdr:sp macro="" textlink="">
      <xdr:nvSpPr>
        <xdr:cNvPr id="4" name="CaixaDeTexto 3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2224742" y="799602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Finalizar página de administração de adição de produtos de todas as categorias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25/04/2026</a:t>
          </a:r>
        </a:p>
      </xdr:txBody>
    </xdr:sp>
    <xdr:clientData/>
  </xdr:twoCellAnchor>
  <xdr:twoCellAnchor>
    <xdr:from>
      <xdr:col>1</xdr:col>
      <xdr:colOff>964530</xdr:colOff>
      <xdr:row>5</xdr:row>
      <xdr:rowOff>57601</xdr:rowOff>
    </xdr:from>
    <xdr:to>
      <xdr:col>1</xdr:col>
      <xdr:colOff>2755230</xdr:colOff>
      <xdr:row>12</xdr:row>
      <xdr:rowOff>76651</xdr:rowOff>
    </xdr:to>
    <xdr:sp macro="" textlink="">
      <xdr:nvSpPr>
        <xdr:cNvPr id="5" name="CaixaDeTexto 4">
          <a:extLst>
            <a:ext uri="{FF2B5EF4-FFF2-40B4-BE49-F238E27FC236}">
              <a16:creationId xmlns="" xmlns:a16="http://schemas.microsoft.com/office/drawing/2014/main" id="{20B8EB74-ED9D-4484-A492-C51932F4FEB5}"/>
            </a:ext>
          </a:extLst>
        </xdr:cNvPr>
        <xdr:cNvSpPr txBox="1"/>
      </xdr:nvSpPr>
      <xdr:spPr>
        <a:xfrm>
          <a:off x="5084093" y="1045820"/>
          <a:ext cx="1790700" cy="1269206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Mudar campo qtd_detalhes para detalhes, e add chaves imagens, valor e qtd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10/04/2026</a:t>
          </a:r>
        </a:p>
      </xdr:txBody>
    </xdr:sp>
    <xdr:clientData/>
  </xdr:twoCellAnchor>
  <xdr:twoCellAnchor>
    <xdr:from>
      <xdr:col>3</xdr:col>
      <xdr:colOff>1113429</xdr:colOff>
      <xdr:row>4</xdr:row>
      <xdr:rowOff>42334</xdr:rowOff>
    </xdr:from>
    <xdr:to>
      <xdr:col>3</xdr:col>
      <xdr:colOff>2904129</xdr:colOff>
      <xdr:row>11</xdr:row>
      <xdr:rowOff>80434</xdr:rowOff>
    </xdr:to>
    <xdr:sp macro="" textlink="">
      <xdr:nvSpPr>
        <xdr:cNvPr id="6" name="CaixaDeTexto 5">
          <a:extLst>
            <a:ext uri="{FF2B5EF4-FFF2-40B4-BE49-F238E27FC236}">
              <a16:creationId xmlns="" xmlns:a16="http://schemas.microsoft.com/office/drawing/2014/main" id="{B3B6A202-3707-41BE-BFF0-E830FFF85602}"/>
            </a:ext>
          </a:extLst>
        </xdr:cNvPr>
        <xdr:cNvSpPr txBox="1"/>
      </xdr:nvSpPr>
      <xdr:spPr>
        <a:xfrm>
          <a:off x="13457829" y="832909"/>
          <a:ext cx="1790700" cy="123825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Montar o l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ogotipo Crofline</a:t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01/02/2026</a:t>
          </a:r>
        </a:p>
      </xdr:txBody>
    </xdr:sp>
    <xdr:clientData/>
  </xdr:twoCellAnchor>
  <xdr:twoCellAnchor>
    <xdr:from>
      <xdr:col>0</xdr:col>
      <xdr:colOff>142875</xdr:colOff>
      <xdr:row>12</xdr:row>
      <xdr:rowOff>114300</xdr:rowOff>
    </xdr:from>
    <xdr:to>
      <xdr:col>0</xdr:col>
      <xdr:colOff>1933575</xdr:colOff>
      <xdr:row>19</xdr:row>
      <xdr:rowOff>133350</xdr:rowOff>
    </xdr:to>
    <xdr:sp macro="" textlink="">
      <xdr:nvSpPr>
        <xdr:cNvPr id="8" name="CaixaDeTexto 7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142875" y="2276475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Finalizar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API do MercadoPago - Estudar ideia de pagamento integrado</a:t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 20/04/2026</a:t>
          </a:r>
        </a:p>
      </xdr:txBody>
    </xdr:sp>
    <xdr:clientData/>
  </xdr:twoCellAnchor>
  <xdr:twoCellAnchor>
    <xdr:from>
      <xdr:col>0</xdr:col>
      <xdr:colOff>2181225</xdr:colOff>
      <xdr:row>21</xdr:row>
      <xdr:rowOff>161925</xdr:rowOff>
    </xdr:from>
    <xdr:to>
      <xdr:col>0</xdr:col>
      <xdr:colOff>3971925</xdr:colOff>
      <xdr:row>29</xdr:row>
      <xdr:rowOff>9525</xdr:rowOff>
    </xdr:to>
    <xdr:sp macro="" textlink="">
      <xdr:nvSpPr>
        <xdr:cNvPr id="9" name="CaixaDeTexto 8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2181225" y="3867150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Realizar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API dos correios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30/04/2026</a:t>
          </a:r>
        </a:p>
      </xdr:txBody>
    </xdr:sp>
    <xdr:clientData/>
  </xdr:twoCellAnchor>
  <xdr:twoCellAnchor>
    <xdr:from>
      <xdr:col>3</xdr:col>
      <xdr:colOff>1097756</xdr:colOff>
      <xdr:row>12</xdr:row>
      <xdr:rowOff>164308</xdr:rowOff>
    </xdr:from>
    <xdr:to>
      <xdr:col>3</xdr:col>
      <xdr:colOff>2888456</xdr:colOff>
      <xdr:row>20</xdr:row>
      <xdr:rowOff>4764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13456444" y="2402683"/>
          <a:ext cx="1790700" cy="1269206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Arrumar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página de login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28/03/2026</a:t>
          </a:r>
        </a:p>
      </xdr:txBody>
    </xdr:sp>
    <xdr:clientData/>
  </xdr:twoCellAnchor>
  <xdr:twoCellAnchor>
    <xdr:from>
      <xdr:col>0</xdr:col>
      <xdr:colOff>2200275</xdr:colOff>
      <xdr:row>31</xdr:row>
      <xdr:rowOff>9525</xdr:rowOff>
    </xdr:from>
    <xdr:to>
      <xdr:col>0</xdr:col>
      <xdr:colOff>3990975</xdr:colOff>
      <xdr:row>38</xdr:row>
      <xdr:rowOff>28575</xdr:rowOff>
    </xdr:to>
    <xdr:sp macro="" textlink="">
      <xdr:nvSpPr>
        <xdr:cNvPr id="11" name="CaixaDeTexto 10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2200275" y="5429250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Realizar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o sistema de notificação automática do carrinho de compras pelo email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05/05/2026</a:t>
          </a:r>
        </a:p>
      </xdr:txBody>
    </xdr:sp>
    <xdr:clientData/>
  </xdr:twoCellAnchor>
  <xdr:twoCellAnchor>
    <xdr:from>
      <xdr:col>0</xdr:col>
      <xdr:colOff>114300</xdr:colOff>
      <xdr:row>31</xdr:row>
      <xdr:rowOff>9525</xdr:rowOff>
    </xdr:from>
    <xdr:to>
      <xdr:col>0</xdr:col>
      <xdr:colOff>1905000</xdr:colOff>
      <xdr:row>38</xdr:row>
      <xdr:rowOff>28575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114300" y="5429250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Estudar a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ideia da boneca virtual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05/05/2026</a:t>
          </a:r>
        </a:p>
      </xdr:txBody>
    </xdr:sp>
    <xdr:clientData/>
  </xdr:twoCellAnchor>
  <xdr:twoCellAnchor>
    <xdr:from>
      <xdr:col>2</xdr:col>
      <xdr:colOff>1104900</xdr:colOff>
      <xdr:row>4</xdr:row>
      <xdr:rowOff>38100</xdr:rowOff>
    </xdr:from>
    <xdr:to>
      <xdr:col>2</xdr:col>
      <xdr:colOff>2895600</xdr:colOff>
      <xdr:row>11</xdr:row>
      <xdr:rowOff>57150</xdr:rowOff>
    </xdr:to>
    <xdr:sp macro="" textlink="">
      <xdr:nvSpPr>
        <xdr:cNvPr id="13" name="CaixaDeTexto 12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9334500" y="828675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Finalizar Carrinho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de compras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 20/04/2026</a:t>
          </a:r>
        </a:p>
      </xdr:txBody>
    </xdr:sp>
    <xdr:clientData/>
  </xdr:twoCellAnchor>
  <xdr:twoCellAnchor>
    <xdr:from>
      <xdr:col>0</xdr:col>
      <xdr:colOff>114300</xdr:colOff>
      <xdr:row>39</xdr:row>
      <xdr:rowOff>152400</xdr:rowOff>
    </xdr:from>
    <xdr:to>
      <xdr:col>0</xdr:col>
      <xdr:colOff>1905000</xdr:colOff>
      <xdr:row>47</xdr:row>
      <xdr:rowOff>0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114300" y="6943725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Finalizar resumo de compras</a:t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 30/04/2026</a:t>
          </a:r>
        </a:p>
      </xdr:txBody>
    </xdr:sp>
    <xdr:clientData/>
  </xdr:twoCellAnchor>
  <xdr:twoCellAnchor>
    <xdr:from>
      <xdr:col>0</xdr:col>
      <xdr:colOff>2124075</xdr:colOff>
      <xdr:row>40</xdr:row>
      <xdr:rowOff>9525</xdr:rowOff>
    </xdr:from>
    <xdr:to>
      <xdr:col>0</xdr:col>
      <xdr:colOff>3914775</xdr:colOff>
      <xdr:row>47</xdr:row>
      <xdr:rowOff>28575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A27257E5-52BD-4C91-9F79-B670FFD59A29}"/>
            </a:ext>
          </a:extLst>
        </xdr:cNvPr>
        <xdr:cNvSpPr txBox="1"/>
      </xdr:nvSpPr>
      <xdr:spPr>
        <a:xfrm>
          <a:off x="2124075" y="6972300"/>
          <a:ext cx="1790700" cy="1219200"/>
        </a:xfrm>
        <a:prstGeom prst="rect">
          <a:avLst/>
        </a:prstGeom>
        <a:solidFill>
          <a:srgbClr val="CC3399"/>
        </a:solidFill>
        <a:ln w="9525" cmpd="sng">
          <a:solidFill>
            <a:schemeClr val="accent5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TAREFA: Estudar ideia</a:t>
          </a:r>
          <a:r>
            <a:rPr lang="pt-BR" sz="11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 IA</a:t>
          </a: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/>
          </a:r>
          <a:b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PRAZO:  20/05/2026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showGridLines="0" tabSelected="1" zoomScale="80" zoomScaleNormal="80" workbookViewId="0">
      <pane ySplit="3" topLeftCell="A4" activePane="bottomLeft" state="frozen"/>
      <selection pane="bottomLeft" activeCell="C20" sqref="C20"/>
    </sheetView>
  </sheetViews>
  <sheetFormatPr defaultRowHeight="14.25"/>
  <cols>
    <col min="1" max="1" width="54" style="1" customWidth="1"/>
    <col min="2" max="2" width="54" style="2" customWidth="1"/>
    <col min="3" max="4" width="54" style="1" customWidth="1"/>
  </cols>
  <sheetData>
    <row r="1" spans="1:4" ht="18.75">
      <c r="A1" s="14" t="s">
        <v>3</v>
      </c>
      <c r="B1" s="15"/>
      <c r="C1" s="15"/>
      <c r="D1" s="16"/>
    </row>
    <row r="2" spans="1:4" ht="12" customHeight="1">
      <c r="A2" s="17" t="str">
        <f ca="1">"Atualizado em: " &amp; TEXT(NOW(),"dd/mm/aaaa hh:mm")</f>
        <v>Atualizado em: 11/04/2026 23:09</v>
      </c>
      <c r="B2" s="18"/>
      <c r="C2" s="18"/>
      <c r="D2" s="19"/>
    </row>
    <row r="3" spans="1:4" ht="18.75">
      <c r="A3" s="3" t="s">
        <v>0</v>
      </c>
      <c r="B3" s="4" t="s">
        <v>1</v>
      </c>
      <c r="C3" s="5" t="s">
        <v>4</v>
      </c>
      <c r="D3" s="5" t="s">
        <v>2</v>
      </c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45"/>
  <sheetViews>
    <sheetView showGridLines="0" zoomScaleNormal="100" workbookViewId="0">
      <selection activeCell="D11" sqref="D11"/>
    </sheetView>
  </sheetViews>
  <sheetFormatPr defaultRowHeight="14.25"/>
  <cols>
    <col min="1" max="8" width="23.25" style="8" customWidth="1"/>
  </cols>
  <sheetData>
    <row r="1" spans="1:8" ht="18.75">
      <c r="A1" s="6" t="s">
        <v>5</v>
      </c>
      <c r="B1" s="6" t="s">
        <v>7</v>
      </c>
      <c r="C1" s="6" t="s">
        <v>6</v>
      </c>
      <c r="D1" s="6" t="s">
        <v>12</v>
      </c>
      <c r="E1" s="6" t="s">
        <v>8</v>
      </c>
      <c r="F1" s="6" t="s">
        <v>9</v>
      </c>
      <c r="G1" s="6" t="s">
        <v>10</v>
      </c>
      <c r="H1" s="6" t="s">
        <v>13</v>
      </c>
    </row>
    <row r="2" spans="1:8" ht="15.75">
      <c r="A2" s="9" t="s">
        <v>11</v>
      </c>
      <c r="B2" s="10">
        <v>45889</v>
      </c>
      <c r="C2" s="10">
        <v>46042</v>
      </c>
      <c r="D2" s="10">
        <v>45928</v>
      </c>
      <c r="E2" s="10">
        <v>45973</v>
      </c>
      <c r="F2" s="9">
        <f>E2-B2</f>
        <v>84</v>
      </c>
      <c r="G2" s="9">
        <f>E2-D2</f>
        <v>45</v>
      </c>
      <c r="H2" s="9">
        <f>IF(E2 &lt;= C2, 1, 0)</f>
        <v>1</v>
      </c>
    </row>
    <row r="3" spans="1:8" ht="15.75">
      <c r="A3" s="9" t="s">
        <v>14</v>
      </c>
      <c r="B3" s="10">
        <v>46098</v>
      </c>
      <c r="C3" s="10">
        <v>46109</v>
      </c>
      <c r="D3" s="10">
        <v>46100</v>
      </c>
      <c r="E3" s="10"/>
      <c r="F3" s="9">
        <f>E3-B3</f>
        <v>-46098</v>
      </c>
      <c r="G3" s="9">
        <f>E3-D3</f>
        <v>-46100</v>
      </c>
      <c r="H3" s="9">
        <f>IF(E3 &lt;= C3, 1, 0)</f>
        <v>1</v>
      </c>
    </row>
    <row r="4" spans="1:8" ht="15.75">
      <c r="A4" s="9" t="s">
        <v>15</v>
      </c>
      <c r="B4" s="10">
        <v>46098</v>
      </c>
      <c r="C4" s="10">
        <v>46122</v>
      </c>
      <c r="D4" s="9"/>
      <c r="E4" s="9"/>
      <c r="F4" s="9"/>
      <c r="G4" s="9"/>
      <c r="H4" s="9"/>
    </row>
    <row r="5" spans="1:8" ht="15.75">
      <c r="A5" s="9" t="s">
        <v>16</v>
      </c>
      <c r="B5" s="10">
        <v>46098</v>
      </c>
      <c r="C5" s="13">
        <v>46137</v>
      </c>
      <c r="D5" s="9"/>
      <c r="E5" s="9"/>
      <c r="F5" s="9"/>
      <c r="G5" s="9"/>
      <c r="H5" s="9"/>
    </row>
    <row r="6" spans="1:8" ht="15.75">
      <c r="A6" s="9" t="s">
        <v>17</v>
      </c>
      <c r="B6" s="13">
        <v>46098</v>
      </c>
      <c r="C6" s="13">
        <v>46132</v>
      </c>
      <c r="D6" s="9"/>
      <c r="E6" s="9"/>
      <c r="F6" s="9"/>
      <c r="G6" s="9"/>
      <c r="H6" s="9"/>
    </row>
    <row r="7" spans="1:8" ht="15.75">
      <c r="A7" s="9" t="s">
        <v>18</v>
      </c>
      <c r="B7" s="13">
        <v>46098</v>
      </c>
      <c r="C7" s="13">
        <v>46122</v>
      </c>
      <c r="D7" s="9"/>
      <c r="E7" s="9"/>
      <c r="F7" s="9"/>
      <c r="G7" s="9"/>
      <c r="H7" s="9"/>
    </row>
    <row r="8" spans="1:8" ht="15.75">
      <c r="A8" s="9" t="s">
        <v>19</v>
      </c>
      <c r="B8" s="13">
        <v>46098</v>
      </c>
      <c r="C8" s="13">
        <v>46109</v>
      </c>
      <c r="D8" s="13" t="s">
        <v>25</v>
      </c>
      <c r="E8" s="13"/>
      <c r="F8" s="9"/>
      <c r="G8" s="9"/>
      <c r="H8" s="9"/>
    </row>
    <row r="9" spans="1:8" ht="15.75">
      <c r="A9" s="9" t="s">
        <v>20</v>
      </c>
      <c r="B9" s="13">
        <v>46098</v>
      </c>
      <c r="C9" s="13">
        <v>46142</v>
      </c>
      <c r="D9" s="9"/>
      <c r="E9" s="9"/>
      <c r="F9" s="9"/>
      <c r="G9" s="9"/>
      <c r="H9" s="9"/>
    </row>
    <row r="10" spans="1:8" ht="15.75">
      <c r="A10" s="9" t="s">
        <v>21</v>
      </c>
      <c r="B10" s="13">
        <v>46098</v>
      </c>
      <c r="C10" s="13">
        <v>46147</v>
      </c>
      <c r="D10" s="9"/>
      <c r="E10" s="9"/>
      <c r="F10" s="9"/>
      <c r="G10" s="9"/>
      <c r="H10" s="9"/>
    </row>
    <row r="11" spans="1:8" ht="15.75">
      <c r="A11" s="9" t="s">
        <v>22</v>
      </c>
      <c r="B11" s="13">
        <v>46098</v>
      </c>
      <c r="C11" s="13">
        <v>46147</v>
      </c>
      <c r="D11" s="9"/>
      <c r="E11" s="9"/>
      <c r="F11" s="9"/>
      <c r="G11" s="9"/>
      <c r="H11" s="9"/>
    </row>
    <row r="12" spans="1:8" ht="15.75">
      <c r="A12" s="9" t="s">
        <v>23</v>
      </c>
      <c r="B12" s="13">
        <v>46098</v>
      </c>
      <c r="C12" s="13">
        <v>46142</v>
      </c>
      <c r="D12" s="9"/>
      <c r="E12" s="9"/>
      <c r="F12" s="9"/>
      <c r="G12" s="9"/>
      <c r="H12" s="9"/>
    </row>
    <row r="13" spans="1:8" ht="15.75">
      <c r="A13" s="9" t="s">
        <v>24</v>
      </c>
      <c r="B13" s="13">
        <v>46098</v>
      </c>
      <c r="C13" s="13">
        <v>46162</v>
      </c>
      <c r="D13" s="9"/>
      <c r="E13" s="9"/>
      <c r="F13" s="9"/>
      <c r="G13" s="9"/>
      <c r="H13" s="9"/>
    </row>
    <row r="14" spans="1:8" ht="15.75">
      <c r="A14" s="9"/>
      <c r="B14" s="9"/>
      <c r="C14" s="9"/>
      <c r="D14" s="9"/>
      <c r="E14" s="9"/>
      <c r="F14" s="9"/>
      <c r="G14" s="9"/>
      <c r="H14" s="9"/>
    </row>
    <row r="15" spans="1:8" ht="15.75">
      <c r="A15" s="9"/>
      <c r="B15" s="9"/>
      <c r="C15" s="9"/>
      <c r="D15" s="9"/>
      <c r="E15" s="9"/>
      <c r="F15" s="9"/>
      <c r="G15" s="9"/>
      <c r="H15" s="9"/>
    </row>
    <row r="16" spans="1:8" ht="15.75">
      <c r="A16" s="9"/>
      <c r="B16" s="9"/>
      <c r="C16" s="9"/>
      <c r="D16" s="9"/>
      <c r="E16" s="9"/>
      <c r="F16" s="9"/>
      <c r="G16" s="9"/>
      <c r="H16" s="9"/>
    </row>
    <row r="17" spans="1:8" ht="15.75">
      <c r="A17" s="9"/>
      <c r="B17" s="9"/>
      <c r="C17" s="9"/>
      <c r="D17" s="9"/>
      <c r="E17" s="9"/>
      <c r="F17" s="9"/>
      <c r="G17" s="9"/>
      <c r="H17" s="9"/>
    </row>
    <row r="18" spans="1:8" ht="15.75">
      <c r="A18" s="9"/>
      <c r="B18" s="9"/>
      <c r="C18" s="9"/>
      <c r="D18" s="9"/>
      <c r="E18" s="9"/>
      <c r="F18" s="9"/>
      <c r="G18" s="9"/>
      <c r="H18" s="9"/>
    </row>
    <row r="19" spans="1:8" ht="15.75">
      <c r="A19" s="9"/>
      <c r="B19" s="9"/>
      <c r="C19" s="9"/>
      <c r="D19" s="9"/>
      <c r="E19" s="9"/>
      <c r="F19" s="9"/>
      <c r="G19" s="9"/>
      <c r="H19" s="9"/>
    </row>
    <row r="20" spans="1:8" ht="15.75">
      <c r="A20" s="12"/>
      <c r="B20" s="12"/>
      <c r="C20" s="12"/>
      <c r="D20" s="12"/>
      <c r="E20" s="12"/>
      <c r="F20" s="12"/>
      <c r="G20" s="12"/>
      <c r="H20" s="12"/>
    </row>
    <row r="21" spans="1:8" ht="15.75">
      <c r="A21" s="11"/>
      <c r="B21" s="11"/>
      <c r="C21" s="11"/>
      <c r="D21" s="11"/>
      <c r="E21" s="11"/>
      <c r="F21" s="11"/>
      <c r="G21" s="11"/>
      <c r="H21" s="11"/>
    </row>
    <row r="22" spans="1:8" ht="15.75">
      <c r="A22" s="11"/>
      <c r="B22" s="11"/>
      <c r="C22" s="11"/>
      <c r="D22" s="11"/>
      <c r="E22" s="11"/>
      <c r="F22" s="11"/>
      <c r="G22" s="11"/>
      <c r="H22" s="11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</sheetData>
  <conditionalFormatting sqref="H2:H3">
    <cfRule type="iconSet" priority="1">
      <iconSet showValue="0">
        <cfvo type="percent" val="0"/>
        <cfvo type="num" val="1"/>
        <cfvo type="num" val="1"/>
      </iconSet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QUADO-KANBAN</vt:lpstr>
      <vt:lpstr>MÉTRICA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 pessoal Teodora Dimov</dc:creator>
  <cp:lastModifiedBy>Kaique</cp:lastModifiedBy>
  <dcterms:created xsi:type="dcterms:W3CDTF">2026-03-17T14:03:56Z</dcterms:created>
  <dcterms:modified xsi:type="dcterms:W3CDTF">2026-04-12T03:31:07Z</dcterms:modified>
</cp:coreProperties>
</file>